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Dashboard" sheetId="2" state="visible" r:id="rId2"/>
    <sheet name="COGS &amp; Margin" sheetId="3" state="visible" r:id="rId3"/>
    <sheet name="Bill Calculator" sheetId="4" state="visible" r:id="rId4"/>
    <sheet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₹#,##0"/>
    <numFmt numFmtId="165" formatCode="0.0%"/>
    <numFmt numFmtId="166" formatCode="#,##0.0"/>
    <numFmt numFmtId="167" formatCode="₹#,##0.00"/>
    <numFmt numFmtId="168" formatCode="0.0&quot;x&quot;"/>
  </numFmts>
  <fonts count="5">
    <font>
      <name val="Calibri"/>
      <family val="2"/>
      <color theme="1"/>
      <sz val="11"/>
      <scheme val="minor"/>
    </font>
    <font>
      <b val="1"/>
      <color rgb="00C0392B"/>
      <sz val="14"/>
    </font>
    <font>
      <b val="1"/>
      <color rgb="00FFFFFF"/>
      <sz val="12"/>
    </font>
    <font>
      <i val="1"/>
      <color rgb="00666666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FF2CC"/>
      </patternFill>
    </fill>
    <fill>
      <patternFill patternType="solid">
        <fgColor rgb="00D5E8D4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4" fontId="0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4" borderId="1" pivotButton="0" quotePrefix="0" xfId="0"/>
    <xf numFmtId="3" fontId="0" fillId="3" borderId="1" pivotButton="0" quotePrefix="0" xfId="0"/>
    <xf numFmtId="165" fontId="0" fillId="3" borderId="1" pivotButton="0" quotePrefix="0" xfId="0"/>
    <xf numFmtId="0" fontId="0" fillId="3" borderId="0" pivotButton="0" quotePrefix="0" xfId="0"/>
    <xf numFmtId="0" fontId="0" fillId="5" borderId="0" pivotButton="0" quotePrefix="0" xfId="0"/>
    <xf numFmtId="3" fontId="0" fillId="5" borderId="1" pivotButton="0" quotePrefix="0" xfId="0"/>
    <xf numFmtId="166" fontId="0" fillId="5" borderId="1" pivotButton="0" quotePrefix="0" xfId="0"/>
    <xf numFmtId="164" fontId="0" fillId="5" borderId="1" pivotButton="0" quotePrefix="0" xfId="0"/>
    <xf numFmtId="167" fontId="0" fillId="5" borderId="1" pivotButton="0" quotePrefix="0" xfId="0"/>
    <xf numFmtId="167" fontId="4" fillId="4" borderId="1" pivotButton="0" quotePrefix="0" xfId="0"/>
    <xf numFmtId="165" fontId="0" fillId="5" borderId="1" pivotButton="0" quotePrefix="0" xfId="0"/>
    <xf numFmtId="166" fontId="4" fillId="4" borderId="1" pivotButton="0" quotePrefix="0" xfId="0"/>
    <xf numFmtId="168" fontId="0" fillId="5" borderId="1" pivotButton="0" quotePrefix="0" xfId="0"/>
    <xf numFmtId="3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0" customWidth="1" min="3" max="3"/>
  </cols>
  <sheetData>
    <row r="1">
      <c r="A1" s="1" t="inlineStr">
        <is>
          <t>SliceMatic — Inputs (edit the yellow cells only)</t>
        </is>
      </c>
    </row>
    <row r="3" ht="20" customHeight="1">
      <c r="A3" s="2" t="inlineStr">
        <is>
          <t>FIXED COSTS  (Rs. / month)</t>
        </is>
      </c>
      <c r="B3" s="3" t="n"/>
      <c r="C3" s="3" t="n"/>
    </row>
    <row r="4">
      <c r="A4" t="inlineStr">
        <is>
          <t>Kitchen rent</t>
        </is>
      </c>
      <c r="B4" s="4" t="n">
        <v>55000</v>
      </c>
      <c r="C4" s="5" t="inlineStr">
        <is>
          <t>1,200 sq ft commercial lease</t>
        </is>
      </c>
    </row>
    <row r="5">
      <c r="A5" t="inlineStr">
        <is>
          <t>Equipment EMI</t>
        </is>
      </c>
      <c r="B5" s="4" t="n">
        <v>14500</v>
      </c>
      <c r="C5" s="5" t="inlineStr">
        <is>
          <t>Oven, mixer, refrigeration — 36-mo loan</t>
        </is>
      </c>
    </row>
    <row r="6">
      <c r="A6" t="inlineStr">
        <is>
          <t>Electricity</t>
        </is>
      </c>
      <c r="B6" s="4" t="n">
        <v>12600</v>
      </c>
      <c r="C6" s="5" t="inlineStr">
        <is>
          <t>~1,800 units/month</t>
        </is>
      </c>
    </row>
    <row r="7">
      <c r="A7" t="inlineStr">
        <is>
          <t>Gas / LPG</t>
        </is>
      </c>
      <c r="B7" s="4" t="n">
        <v>5550</v>
      </c>
      <c r="C7" s="5" t="inlineStr">
        <is>
          <t>3 cylinders @ Rs.1,850</t>
        </is>
      </c>
    </row>
    <row r="8">
      <c r="A8" t="inlineStr">
        <is>
          <t>Head chef</t>
        </is>
      </c>
      <c r="B8" s="4" t="n">
        <v>28000</v>
      </c>
    </row>
    <row r="9">
      <c r="A9" t="inlineStr">
        <is>
          <t>Kitchen helper</t>
        </is>
      </c>
      <c r="B9" s="4" t="n">
        <v>16500</v>
      </c>
      <c r="C9" s="5" t="inlineStr">
        <is>
          <t>min wage + ESI/PF</t>
        </is>
      </c>
    </row>
    <row r="10">
      <c r="A10" t="inlineStr">
        <is>
          <t>Counter + billing staff</t>
        </is>
      </c>
      <c r="B10" s="4" t="n">
        <v>18000</v>
      </c>
    </row>
    <row r="11">
      <c r="A11" t="inlineStr">
        <is>
          <t>Delivery riders (2)</t>
        </is>
      </c>
      <c r="B11" s="4" t="n">
        <v>32000</v>
      </c>
      <c r="C11" s="5" t="inlineStr">
        <is>
          <t>fixed component only</t>
        </is>
      </c>
    </row>
    <row r="12">
      <c r="A12" t="inlineStr">
        <is>
          <t>Internet + POS + SaaS</t>
        </is>
      </c>
      <c r="B12" s="4" t="n">
        <v>2800</v>
      </c>
    </row>
    <row r="13">
      <c r="A13" t="inlineStr">
        <is>
          <t>Marketing (fixed)</t>
        </is>
      </c>
      <c r="B13" s="4" t="n">
        <v>8000</v>
      </c>
    </row>
    <row r="14">
      <c r="A14" t="inlineStr">
        <is>
          <t>Packaging (fixed component)</t>
        </is>
      </c>
      <c r="B14" s="4" t="n">
        <v>4200</v>
      </c>
    </row>
    <row r="15">
      <c r="A15" t="inlineStr">
        <is>
          <t>Misc / contingency</t>
        </is>
      </c>
      <c r="B15" s="4" t="n">
        <v>5760</v>
      </c>
      <c r="C15" s="5" t="inlineStr">
        <is>
          <t>3% maintenance/consumables</t>
        </is>
      </c>
    </row>
    <row r="16">
      <c r="A16" s="6" t="inlineStr">
        <is>
          <t>TOTAL FIXED COSTS</t>
        </is>
      </c>
      <c r="B16" s="7">
        <f>SUM(B4:B15)</f>
        <v/>
      </c>
      <c r="C16" s="5" t="inlineStr">
        <is>
          <t>auto-sum</t>
        </is>
      </c>
    </row>
    <row r="18" ht="20" customHeight="1">
      <c r="A18" s="2" t="inlineStr">
        <is>
          <t>REVENUE DRIVERS</t>
        </is>
      </c>
      <c r="B18" s="3" t="n"/>
      <c r="C18" s="3" t="n"/>
    </row>
    <row r="19">
      <c r="A19" t="inlineStr">
        <is>
          <t>Weekday days / month</t>
        </is>
      </c>
      <c r="B19" s="8" t="n">
        <v>22</v>
      </c>
    </row>
    <row r="20">
      <c r="A20" t="inlineStr">
        <is>
          <t>Weekend+holiday days / month</t>
        </is>
      </c>
      <c r="B20" s="8" t="n">
        <v>8</v>
      </c>
    </row>
    <row r="21">
      <c r="A21" t="inlineStr">
        <is>
          <t>Weekday orders / day</t>
        </is>
      </c>
      <c r="B21" s="8" t="n">
        <v>38</v>
      </c>
    </row>
    <row r="22">
      <c r="A22" t="inlineStr">
        <is>
          <t>Weekend orders / day</t>
        </is>
      </c>
      <c r="B22" s="8" t="n">
        <v>68</v>
      </c>
    </row>
    <row r="23">
      <c r="A23" t="inlineStr">
        <is>
          <t>Weekday AOV (ex-GST)</t>
        </is>
      </c>
      <c r="B23" s="4" t="n">
        <v>792</v>
      </c>
    </row>
    <row r="24">
      <c r="A24" t="inlineStr">
        <is>
          <t>Weekend AOV (ex-GST)</t>
        </is>
      </c>
      <c r="B24" s="4" t="n">
        <v>940</v>
      </c>
    </row>
    <row r="26" ht="20" customHeight="1">
      <c r="A26" s="2" t="inlineStr">
        <is>
          <t>VARIABLE COST PER ORDER</t>
        </is>
      </c>
      <c r="B26" s="3" t="n"/>
      <c r="C26" s="3" t="n"/>
    </row>
    <row r="27">
      <c r="A27" t="inlineStr">
        <is>
          <t>Ingredient COGS / order</t>
        </is>
      </c>
      <c r="B27" s="4" t="n">
        <v>148</v>
      </c>
    </row>
    <row r="28">
      <c r="A28" t="inlineStr">
        <is>
          <t>Packaging / order</t>
        </is>
      </c>
      <c r="B28" s="4" t="n">
        <v>18</v>
      </c>
    </row>
    <row r="29">
      <c r="A29" t="inlineStr">
        <is>
          <t>Delivery incentive / order</t>
        </is>
      </c>
      <c r="B29" s="4" t="n">
        <v>22</v>
      </c>
    </row>
    <row r="30">
      <c r="A30" t="inlineStr">
        <is>
          <t>Payment gateway %</t>
        </is>
      </c>
      <c r="B30" s="9" t="n">
        <v>0.018</v>
      </c>
      <c r="C30" s="5" t="inlineStr">
        <is>
          <t>% of order value</t>
        </is>
      </c>
    </row>
    <row r="32" ht="20" customHeight="1">
      <c r="A32" s="2" t="inlineStr">
        <is>
          <t>PRICING RULES</t>
        </is>
      </c>
      <c r="B32" s="3" t="n"/>
      <c r="C32" s="3" t="n"/>
    </row>
    <row r="33">
      <c r="A33" t="inlineStr">
        <is>
          <t>GST rate</t>
        </is>
      </c>
      <c r="B33" s="9" t="n">
        <v>0.18</v>
      </c>
    </row>
    <row r="34">
      <c r="A34" t="inlineStr">
        <is>
          <t>Discount threshold (qty &gt;=)</t>
        </is>
      </c>
      <c r="B34" s="8" t="n">
        <v>5</v>
      </c>
    </row>
    <row r="35">
      <c r="A35" t="inlineStr">
        <is>
          <t>Discount %</t>
        </is>
      </c>
      <c r="B35" s="9" t="n">
        <v>0.1</v>
      </c>
    </row>
    <row r="37" ht="20" customHeight="1">
      <c r="A37" s="2" t="inlineStr">
        <is>
          <t>CAPACITY  &amp;  INVESTMENT</t>
        </is>
      </c>
      <c r="B37" s="3" t="n"/>
      <c r="C37" s="3" t="n"/>
    </row>
    <row r="38">
      <c r="A38" t="inlineStr">
        <is>
          <t>Max orders / day (100% capacity)</t>
        </is>
      </c>
      <c r="B38" s="8" t="n">
        <v>80</v>
      </c>
    </row>
    <row r="39">
      <c r="A39" t="inlineStr">
        <is>
          <t>Planned utilisation %</t>
        </is>
      </c>
      <c r="B39" s="9" t="n">
        <v>0.6</v>
      </c>
    </row>
    <row r="40">
      <c r="A40" t="inlineStr">
        <is>
          <t>Initial investment</t>
        </is>
      </c>
      <c r="B40" s="4" t="n">
        <v>1500000</v>
      </c>
    </row>
    <row r="43">
      <c r="A43" s="6" t="inlineStr">
        <is>
          <t>LEGEND:</t>
        </is>
      </c>
    </row>
    <row r="44">
      <c r="A44" s="10" t="inlineStr">
        <is>
          <t>Yellow = editable input</t>
        </is>
      </c>
    </row>
    <row r="45">
      <c r="A45" s="11" t="inlineStr">
        <is>
          <t>Green = key result   |   Blue = computed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0" customWidth="1" min="3" max="3"/>
  </cols>
  <sheetData>
    <row r="1">
      <c r="A1" s="1" t="inlineStr">
        <is>
          <t>SliceMatic — Live Metrics Dashboard</t>
        </is>
      </c>
    </row>
    <row r="2">
      <c r="A2" s="5" t="inlineStr">
        <is>
          <t>All values computed from the Inputs sheet. Edit inputs there; these update automatically.</t>
        </is>
      </c>
    </row>
    <row r="4" ht="20" customHeight="1">
      <c r="A4" s="2" t="inlineStr">
        <is>
          <t>MONTHLY VOLUME &amp; REVENUE</t>
        </is>
      </c>
      <c r="B4" s="3" t="n"/>
      <c r="C4" s="3" t="n"/>
    </row>
    <row r="5">
      <c r="A5" t="inlineStr">
        <is>
          <t>Monthly orders</t>
        </is>
      </c>
      <c r="B5" s="12">
        <f>Inputs!B19*Inputs!B21+Inputs!B20*Inputs!B22</f>
        <v/>
      </c>
    </row>
    <row r="6">
      <c r="A6" t="inlineStr">
        <is>
          <t>Avg orders / day</t>
        </is>
      </c>
      <c r="B6" s="13">
        <f>B5/(Inputs!B19+Inputs!B20)</f>
        <v/>
      </c>
    </row>
    <row r="7">
      <c r="A7" t="inlineStr">
        <is>
          <t>Monthly revenue (ex-GST)</t>
        </is>
      </c>
      <c r="B7" s="14">
        <f>Inputs!B19*Inputs!B21*Inputs!B23+Inputs!B20*Inputs!B22*Inputs!B24</f>
        <v/>
      </c>
    </row>
    <row r="8">
      <c r="A8" t="inlineStr">
        <is>
          <t>Blended AOV (ex-GST)</t>
        </is>
      </c>
      <c r="B8" s="14">
        <f>B7/B5</f>
        <v/>
      </c>
    </row>
    <row r="9">
      <c r="A9" t="inlineStr">
        <is>
          <t>GST collected (passed to Govt.)</t>
        </is>
      </c>
      <c r="B9" s="14">
        <f>B7*Inputs!B33</f>
        <v/>
      </c>
    </row>
    <row r="10">
      <c r="A10" t="inlineStr">
        <is>
          <t>Gross billed (incl GST)</t>
        </is>
      </c>
      <c r="B10" s="14">
        <f>B7+B9</f>
        <v/>
      </c>
    </row>
    <row r="12" ht="20" customHeight="1">
      <c r="A12" s="2" t="inlineStr">
        <is>
          <t>PER-ORDER ECONOMICS</t>
        </is>
      </c>
      <c r="B12" s="3" t="n"/>
      <c r="C12" s="3" t="n"/>
    </row>
    <row r="13">
      <c r="A13" t="inlineStr">
        <is>
          <t>Gateway fee / order</t>
        </is>
      </c>
      <c r="B13" s="15">
        <f>B8*Inputs!B30</f>
        <v/>
      </c>
    </row>
    <row r="14">
      <c r="A14" s="6" t="inlineStr">
        <is>
          <t>Contribution margin / order</t>
        </is>
      </c>
      <c r="B14" s="16">
        <f>B8-Inputs!B27-Inputs!B28-Inputs!B29-B13</f>
        <v/>
      </c>
    </row>
    <row r="15">
      <c r="A15" t="inlineStr">
        <is>
          <t>Contribution margin %</t>
        </is>
      </c>
      <c r="B15" s="17">
        <f>B14/B8</f>
        <v/>
      </c>
    </row>
    <row r="17" ht="20" customHeight="1">
      <c r="A17" s="2" t="inlineStr">
        <is>
          <t>MONTHLY P&amp;L</t>
        </is>
      </c>
      <c r="B17" s="3" t="n"/>
      <c r="C17" s="3" t="n"/>
    </row>
    <row r="18">
      <c r="A18" t="inlineStr">
        <is>
          <t>Monthly contribution</t>
        </is>
      </c>
      <c r="B18" s="14">
        <f>B5*B14</f>
        <v/>
      </c>
    </row>
    <row r="19">
      <c r="A19" t="inlineStr">
        <is>
          <t>Less: total fixed costs</t>
        </is>
      </c>
      <c r="B19" s="14">
        <f>-Inputs!B16</f>
        <v/>
      </c>
    </row>
    <row r="20">
      <c r="A20" s="6" t="inlineStr">
        <is>
          <t>EBITDA (operating profit)</t>
        </is>
      </c>
      <c r="B20" s="7">
        <f>B18+B19</f>
        <v/>
      </c>
    </row>
    <row r="21">
      <c r="A21" t="inlineStr">
        <is>
          <t>Operating margin</t>
        </is>
      </c>
      <c r="B21" s="17">
        <f>B20/B7</f>
        <v/>
      </c>
    </row>
    <row r="23" ht="20" customHeight="1">
      <c r="A23" s="2" t="inlineStr">
        <is>
          <t>BREAK-EVEN</t>
        </is>
      </c>
      <c r="B23" s="3" t="n"/>
      <c r="C23" s="3" t="n"/>
    </row>
    <row r="24">
      <c r="A24" t="inlineStr">
        <is>
          <t>Break-even orders / month</t>
        </is>
      </c>
      <c r="B24" s="12">
        <f>Inputs!B16/B14</f>
        <v/>
      </c>
    </row>
    <row r="25">
      <c r="A25" s="6" t="inlineStr">
        <is>
          <t>Break-even orders / day</t>
        </is>
      </c>
      <c r="B25" s="18">
        <f>B24/30</f>
        <v/>
      </c>
    </row>
    <row r="26">
      <c r="A26" t="inlineStr">
        <is>
          <t>Safety multiple (plan / break-even)</t>
        </is>
      </c>
      <c r="B26" s="19">
        <f>B6/B25</f>
        <v/>
      </c>
    </row>
    <row r="27">
      <c r="A27" t="inlineStr">
        <is>
          <t>Capacity utilisation (implied)</t>
        </is>
      </c>
      <c r="B27" s="17">
        <f>B6/Inputs!B38</f>
        <v/>
      </c>
    </row>
    <row r="29" ht="20" customHeight="1">
      <c r="A29" s="2" t="inlineStr">
        <is>
          <t>PAYBACK</t>
        </is>
      </c>
      <c r="B29" s="3" t="n"/>
      <c r="C29" s="3" t="n"/>
    </row>
    <row r="30">
      <c r="A30" s="6" t="inlineStr">
        <is>
          <t>Simple payback (months)</t>
        </is>
      </c>
      <c r="B30" s="18">
        <f>Inputs!B40/B20</f>
        <v/>
      </c>
      <c r="C30" s="5" t="inlineStr">
        <is>
          <t>at current EBITDA; real ramp is slower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COGS &amp; Gross Margin by Pizza Type</t>
        </is>
      </c>
    </row>
    <row r="2">
      <c r="A2" s="5" t="inlineStr">
        <is>
          <t>Edit yellow component costs and selling prices; totals &amp; margins recalc.</t>
        </is>
      </c>
    </row>
    <row r="4">
      <c r="A4" s="2" t="inlineStr">
        <is>
          <t>Component</t>
        </is>
      </c>
      <c r="B4" s="2" t="inlineStr">
        <is>
          <t>Margherita</t>
        </is>
      </c>
      <c r="C4" s="2" t="inlineStr">
        <is>
          <t>Farm House</t>
        </is>
      </c>
      <c r="D4" s="2" t="inlineStr">
        <is>
          <t>Cheese Burst</t>
        </is>
      </c>
      <c r="E4" s="2" t="inlineStr">
        <is>
          <t>Custom</t>
        </is>
      </c>
    </row>
    <row r="5">
      <c r="A5" t="inlineStr">
        <is>
          <t>Pizza base ingredients</t>
        </is>
      </c>
      <c r="B5" s="4" t="n">
        <v>38</v>
      </c>
      <c r="C5" s="4" t="n">
        <v>45</v>
      </c>
      <c r="D5" s="4" t="n">
        <v>72</v>
      </c>
      <c r="E5" s="4" t="n">
        <v>50</v>
      </c>
    </row>
    <row r="6">
      <c r="A6" t="inlineStr">
        <is>
          <t>Sauce + seasoning</t>
        </is>
      </c>
      <c r="B6" s="4" t="n">
        <v>12</v>
      </c>
      <c r="C6" s="4" t="n">
        <v>14</v>
      </c>
      <c r="D6" s="4" t="n">
        <v>14</v>
      </c>
      <c r="E6" s="4" t="n">
        <v>13</v>
      </c>
    </row>
    <row r="7">
      <c r="A7" t="inlineStr">
        <is>
          <t>Cheese (mozzarella)</t>
        </is>
      </c>
      <c r="B7" s="4" t="n">
        <v>28</v>
      </c>
      <c r="C7" s="4" t="n">
        <v>32</v>
      </c>
      <c r="D7" s="4" t="n">
        <v>65</v>
      </c>
      <c r="E7" s="4" t="n">
        <v>38</v>
      </c>
    </row>
    <row r="8">
      <c r="A8" t="inlineStr">
        <is>
          <t>Pizza-specific toppings</t>
        </is>
      </c>
      <c r="B8" s="4" t="n">
        <v>8</v>
      </c>
      <c r="C8" s="4" t="n">
        <v>22</v>
      </c>
      <c r="D8" s="4" t="n">
        <v>18</v>
      </c>
      <c r="E8" s="4" t="n">
        <v>17</v>
      </c>
    </row>
    <row r="9">
      <c r="A9" t="inlineStr">
        <is>
          <t>Add-on topping (avg 1)</t>
        </is>
      </c>
      <c r="B9" s="4" t="n">
        <v>10</v>
      </c>
      <c r="C9" s="4" t="n">
        <v>10</v>
      </c>
      <c r="D9" s="4" t="n">
        <v>10</v>
      </c>
      <c r="E9" s="4" t="n">
        <v>10</v>
      </c>
    </row>
    <row r="10">
      <c r="A10" t="inlineStr">
        <is>
          <t>Packaging (box + bag)</t>
        </is>
      </c>
      <c r="B10" s="4" t="n">
        <v>18</v>
      </c>
      <c r="C10" s="4" t="n">
        <v>18</v>
      </c>
      <c r="D10" s="4" t="n">
        <v>18</v>
      </c>
      <c r="E10" s="4" t="n">
        <v>18</v>
      </c>
    </row>
    <row r="11">
      <c r="A11" t="inlineStr">
        <is>
          <t>Delivery variable</t>
        </is>
      </c>
      <c r="B11" s="4" t="n">
        <v>22</v>
      </c>
      <c r="C11" s="4" t="n">
        <v>22</v>
      </c>
      <c r="D11" s="4" t="n">
        <v>22</v>
      </c>
      <c r="E11" s="4" t="n">
        <v>22</v>
      </c>
    </row>
    <row r="12">
      <c r="A12" s="6" t="inlineStr">
        <is>
          <t>TOTAL COGS / pizza</t>
        </is>
      </c>
      <c r="B12" s="7">
        <f>SUM(B5:B11)</f>
        <v/>
      </c>
      <c r="C12" s="7">
        <f>SUM(C5:C11)</f>
        <v/>
      </c>
      <c r="D12" s="7">
        <f>SUM(D5:D11)</f>
        <v/>
      </c>
      <c r="E12" s="7">
        <f>SUM(E5:E11)</f>
        <v/>
      </c>
    </row>
    <row r="13">
      <c r="A13" s="6" t="inlineStr">
        <is>
          <t>Selling price (base+pizza+1 topping)</t>
        </is>
      </c>
      <c r="B13" s="4" t="n">
        <v>397</v>
      </c>
      <c r="C13" s="4" t="n">
        <v>417</v>
      </c>
      <c r="D13" s="4" t="n">
        <v>447</v>
      </c>
      <c r="E13" s="4" t="n">
        <v>420</v>
      </c>
    </row>
    <row r="14">
      <c r="A14" s="6" t="inlineStr">
        <is>
          <t>Gross margin / pizza</t>
        </is>
      </c>
      <c r="B14" s="14">
        <f>B13-B12</f>
        <v/>
      </c>
      <c r="C14" s="14">
        <f>C13-C12</f>
        <v/>
      </c>
      <c r="D14" s="14">
        <f>D13-D12</f>
        <v/>
      </c>
      <c r="E14" s="14">
        <f>E13-E12</f>
        <v/>
      </c>
    </row>
    <row r="15">
      <c r="A15" s="6" t="inlineStr">
        <is>
          <t>Gross margin %</t>
        </is>
      </c>
      <c r="B15" s="17">
        <f>B14/B13</f>
        <v/>
      </c>
      <c r="C15" s="17">
        <f>C14/C13</f>
        <v/>
      </c>
      <c r="D15" s="17">
        <f>D14/D13</f>
        <v/>
      </c>
      <c r="E15" s="17">
        <f>E14/E13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40" customWidth="1" min="3" max="3"/>
  </cols>
  <sheetData>
    <row r="1">
      <c r="A1" s="1" t="inlineStr">
        <is>
          <t>Single-Order Bill Calculator</t>
        </is>
      </c>
    </row>
    <row r="2">
      <c r="A2" s="5" t="inlineStr">
        <is>
          <t>Plug in prices + quantity (yellow). Mirrors the app's pricing logic exactly.</t>
        </is>
      </c>
    </row>
    <row r="4" ht="20" customHeight="1">
      <c r="A4" s="2" t="inlineStr">
        <is>
          <t>ORDER INPUTS</t>
        </is>
      </c>
      <c r="B4" s="3" t="n"/>
      <c r="C4" s="3" t="n"/>
    </row>
    <row r="5">
      <c r="A5" t="inlineStr">
        <is>
          <t>Base price</t>
        </is>
      </c>
      <c r="B5" s="4" t="n">
        <v>229</v>
      </c>
    </row>
    <row r="6">
      <c r="A6" t="inlineStr">
        <is>
          <t>Pizza price</t>
        </is>
      </c>
      <c r="B6" s="4" t="n">
        <v>379</v>
      </c>
    </row>
    <row r="7">
      <c r="A7" t="inlineStr">
        <is>
          <t>Topping price</t>
        </is>
      </c>
      <c r="B7" s="4" t="n">
        <v>69</v>
      </c>
    </row>
    <row r="8">
      <c r="A8" t="inlineStr">
        <is>
          <t>Quantity (1-10)</t>
        </is>
      </c>
      <c r="B8" s="8" t="n">
        <v>5</v>
      </c>
    </row>
    <row r="10" ht="20" customHeight="1">
      <c r="A10" s="2" t="inlineStr">
        <is>
          <t>COMPUTED BILL</t>
        </is>
      </c>
      <c r="B10" s="3" t="n"/>
      <c r="C10" s="3" t="n"/>
    </row>
    <row r="11">
      <c r="A11" t="inlineStr">
        <is>
          <t>Unit price (base+pizza+topping)</t>
        </is>
      </c>
      <c r="B11" s="15">
        <f>B5+B6+B7</f>
        <v/>
      </c>
    </row>
    <row r="12">
      <c r="A12" t="inlineStr">
        <is>
          <t>Subtotal (unit x qty)</t>
        </is>
      </c>
      <c r="B12" s="15">
        <f>B11*B8</f>
        <v/>
      </c>
    </row>
    <row r="13">
      <c r="A13" t="inlineStr">
        <is>
          <t>Discount</t>
        </is>
      </c>
      <c r="B13" s="15">
        <f>IF(B8&gt;=Inputs!B34,B12*Inputs!B35,0)</f>
        <v/>
      </c>
    </row>
    <row r="14">
      <c r="A14" t="inlineStr">
        <is>
          <t>Post-discount subtotal</t>
        </is>
      </c>
      <c r="B14" s="15">
        <f>B12-B13</f>
        <v/>
      </c>
    </row>
    <row r="15">
      <c r="A15" t="inlineStr">
        <is>
          <t>GST</t>
        </is>
      </c>
      <c r="B15" s="15">
        <f>B14*Inputs!B33</f>
        <v/>
      </c>
    </row>
    <row r="16">
      <c r="A16" s="6" t="inlineStr">
        <is>
          <t>TOTAL PAYABLE</t>
        </is>
      </c>
      <c r="B16" s="16">
        <f>B14+B15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44" customWidth="1" min="3" max="3"/>
  </cols>
  <sheetData>
    <row r="1">
      <c r="A1" s="1" t="inlineStr">
        <is>
          <t>Stress Tests — Challenge These Numbers</t>
        </is>
      </c>
    </row>
    <row r="2">
      <c r="A2" s="5" t="inlineStr">
        <is>
          <t>Yellow = scenario inputs. Everything else recalculates from Inputs + Dashboard.</t>
        </is>
      </c>
    </row>
    <row r="4" ht="20" customHeight="1">
      <c r="A4" s="2" t="inlineStr">
        <is>
          <t>Q1  —  RENT SHOCK</t>
        </is>
      </c>
      <c r="B4" s="3" t="n"/>
      <c r="C4" s="3" t="n"/>
    </row>
    <row r="5">
      <c r="A5" t="inlineStr">
        <is>
          <t>New monthly rent</t>
        </is>
      </c>
      <c r="B5" s="4" t="n">
        <v>70000</v>
      </c>
    </row>
    <row r="6">
      <c r="A6" t="inlineStr">
        <is>
          <t>New total fixed costs</t>
        </is>
      </c>
      <c r="B6" s="14">
        <f>Inputs!B16-Inputs!B4+B5</f>
        <v/>
      </c>
    </row>
    <row r="7">
      <c r="A7" t="inlineStr">
        <is>
          <t>New break-even orders / month</t>
        </is>
      </c>
      <c r="B7" s="12">
        <f>B6/Dashboard!B14</f>
        <v/>
      </c>
    </row>
    <row r="8">
      <c r="A8" s="6" t="inlineStr">
        <is>
          <t>New break-even orders / day</t>
        </is>
      </c>
      <c r="B8" s="18">
        <f>B7/30</f>
        <v/>
      </c>
    </row>
    <row r="9">
      <c r="A9" s="6" t="inlineStr">
        <is>
          <t>Rent that makes plan unviable</t>
        </is>
      </c>
      <c r="B9" s="7">
        <f>Dashboard!B5*Dashboard!B14-(Inputs!B16-Inputs!B4)</f>
        <v/>
      </c>
      <c r="C9" s="5" t="inlineStr">
        <is>
          <t>rent where break-even = planned volume</t>
        </is>
      </c>
    </row>
    <row r="11" ht="20" customHeight="1">
      <c r="A11" s="2" t="inlineStr">
        <is>
          <t>Q2  —  AGGREGATOR (Zomato/Swiggy)</t>
        </is>
      </c>
      <c r="B11" s="3" t="n"/>
      <c r="C11" s="3" t="n"/>
    </row>
    <row r="12">
      <c r="A12" t="inlineStr">
        <is>
          <t>Aggregator order share</t>
        </is>
      </c>
      <c r="B12" s="9" t="n">
        <v>0.4</v>
      </c>
    </row>
    <row r="13">
      <c r="A13" t="inlineStr">
        <is>
          <t>Aggregator commission %</t>
        </is>
      </c>
      <c r="B13" s="9" t="n">
        <v>0.25</v>
      </c>
    </row>
    <row r="14">
      <c r="A14" t="inlineStr">
        <is>
          <t>CM / aggregator order</t>
        </is>
      </c>
      <c r="B14" s="15">
        <f>Dashboard!B8-Inputs!B27-Inputs!B28-Dashboard!B8*B13</f>
        <v/>
      </c>
      <c r="C14" s="5" t="inlineStr">
        <is>
          <t>aggregator covers delivery + payment</t>
        </is>
      </c>
    </row>
    <row r="15">
      <c r="A15" t="inlineStr">
        <is>
          <t>CM / direct order</t>
        </is>
      </c>
      <c r="B15" s="15">
        <f>Dashboard!B14</f>
        <v/>
      </c>
    </row>
    <row r="16">
      <c r="A16" s="6" t="inlineStr">
        <is>
          <t>Blended CM / order</t>
        </is>
      </c>
      <c r="B16" s="16">
        <f>B12*B14+(1-B12)*B15</f>
        <v/>
      </c>
    </row>
    <row r="17">
      <c r="A17" s="6" t="inlineStr">
        <is>
          <t>New break-even orders / day</t>
        </is>
      </c>
      <c r="B17" s="18">
        <f>Inputs!B16/B16/30</f>
        <v/>
      </c>
    </row>
    <row r="19" ht="20" customHeight="1">
      <c r="A19" s="2" t="inlineStr">
        <is>
          <t>Q3  —  3rd RIDER JUSTIFICATION</t>
        </is>
      </c>
      <c r="B19" s="3" t="n"/>
      <c r="C19" s="3" t="n"/>
    </row>
    <row r="20">
      <c r="A20" t="inlineStr">
        <is>
          <t>3rd rider cost / month</t>
        </is>
      </c>
      <c r="B20" s="4" t="n">
        <v>16000</v>
      </c>
    </row>
    <row r="21">
      <c r="A21" t="inlineStr">
        <is>
          <t>Deliveries / rider / day</t>
        </is>
      </c>
      <c r="B21" s="8" t="n">
        <v>33</v>
      </c>
    </row>
    <row r="22">
      <c r="A22" t="inlineStr">
        <is>
          <t>Extra orders/day to pay for rider</t>
        </is>
      </c>
      <c r="B22" s="13">
        <f>B20/Dashboard!B14/30</f>
        <v/>
      </c>
      <c r="C22" s="5" t="inlineStr">
        <is>
          <t>financial breakeven (trivial)</t>
        </is>
      </c>
    </row>
    <row r="23">
      <c r="A23" t="inlineStr">
        <is>
          <t>2-rider delivery capacity / day</t>
        </is>
      </c>
      <c r="B23" s="12">
        <f>2*B21</f>
        <v/>
      </c>
    </row>
    <row r="24">
      <c r="A24" s="6" t="inlineStr">
        <is>
          <t>Recommended hire trigger (orders/day)</t>
        </is>
      </c>
      <c r="B24" s="20">
        <f>0.85*B23</f>
        <v/>
      </c>
      <c r="C24" s="5" t="inlineStr">
        <is>
          <t>hire before fleet saturates (SLA)</t>
        </is>
      </c>
    </row>
    <row r="26" ht="20" customHeight="1">
      <c r="A26" s="2" t="inlineStr">
        <is>
          <t>Q4  —  DISCOUNT IMPACT (5-pizza order)</t>
        </is>
      </c>
      <c r="B26" s="3" t="n"/>
      <c r="C26" s="3" t="n"/>
    </row>
    <row r="27">
      <c r="A27" t="inlineStr">
        <is>
          <t>Order quantity</t>
        </is>
      </c>
      <c r="B27" s="8" t="n">
        <v>5</v>
      </c>
    </row>
    <row r="28">
      <c r="A28" t="inlineStr">
        <is>
          <t>Food cost / pizza (Cheese Burst)</t>
        </is>
      </c>
      <c r="B28" s="15">
        <f>'COGS &amp; Margin'!D12-Inputs!B28-Inputs!B29</f>
        <v/>
      </c>
      <c r="C28" s="5" t="inlineStr">
        <is>
          <t>from COGS sheet, ex pkg/delivery</t>
        </is>
      </c>
    </row>
    <row r="29">
      <c r="A29" t="inlineStr">
        <is>
          <t>Unit selling price</t>
        </is>
      </c>
      <c r="B29" s="15">
        <f>'Bill Calculator'!B11</f>
        <v/>
      </c>
    </row>
    <row r="30">
      <c r="A30" t="inlineStr">
        <is>
          <t>Subtotal (ex-GST)</t>
        </is>
      </c>
      <c r="B30" s="15">
        <f>B29*B27</f>
        <v/>
      </c>
    </row>
    <row r="31">
      <c r="A31" t="inlineStr">
        <is>
          <t>Discount (10%)</t>
        </is>
      </c>
      <c r="B31" s="15">
        <f>B30*Inputs!B35</f>
        <v/>
      </c>
    </row>
    <row r="32">
      <c r="A32" t="inlineStr">
        <is>
          <t>Variable cost (food x qty + pkg x qty + 1 delivery)</t>
        </is>
      </c>
      <c r="B32" s="15">
        <f>B28*B27+Inputs!B28*B27+Inputs!B29</f>
        <v/>
      </c>
    </row>
    <row r="33">
      <c r="A33" t="inlineStr">
        <is>
          <t>CM without discount</t>
        </is>
      </c>
      <c r="B33" s="15">
        <f>B30-B32</f>
        <v/>
      </c>
    </row>
    <row r="34">
      <c r="A34" t="inlineStr">
        <is>
          <t>CM with discount</t>
        </is>
      </c>
      <c r="B34" s="15">
        <f>B30-B31-B32</f>
        <v/>
      </c>
    </row>
    <row r="35">
      <c r="A35" s="6" t="inlineStr">
        <is>
          <t>Contribution given up by discount</t>
        </is>
      </c>
      <c r="B35" s="16">
        <f>B33-B34</f>
        <v/>
      </c>
    </row>
    <row r="37" ht="20" customHeight="1">
      <c r="A37" s="2" t="inlineStr">
        <is>
          <t>Q5  —  COGS INFLATION</t>
        </is>
      </c>
      <c r="B37" s="3" t="n"/>
      <c r="C37" s="3" t="n"/>
    </row>
    <row r="38">
      <c r="A38" t="inlineStr">
        <is>
          <t>Ingredient inflation %</t>
        </is>
      </c>
      <c r="B38" s="9" t="n">
        <v>0.12</v>
      </c>
    </row>
    <row r="39">
      <c r="A39" t="inlineStr">
        <is>
          <t>New ingredient COGS / order</t>
        </is>
      </c>
      <c r="B39" s="15">
        <f>Inputs!B27*(1+B38)</f>
        <v/>
      </c>
    </row>
    <row r="40">
      <c r="A40" t="inlineStr">
        <is>
          <t>New CM / order</t>
        </is>
      </c>
      <c r="B40" s="15">
        <f>Dashboard!B8-B39-Inputs!B28-Inputs!B29-Dashboard!B8*Inputs!B30</f>
        <v/>
      </c>
    </row>
    <row r="41">
      <c r="A41" t="inlineStr">
        <is>
          <t>Orders/month to hold EBITDA</t>
        </is>
      </c>
      <c r="B41" s="12">
        <f>(Dashboard!B20+Inputs!B16)/B40</f>
        <v/>
      </c>
    </row>
    <row r="42">
      <c r="A42" s="6" t="inlineStr">
        <is>
          <t>Extra orders / day needed</t>
        </is>
      </c>
      <c r="B42" s="18">
        <f>(B41-Dashboard!B5)/30</f>
        <v/>
      </c>
    </row>
    <row r="44" ht="20" customHeight="1">
      <c r="A44" s="2" t="inlineStr">
        <is>
          <t>Q6  —  BI METRICS FROM ORDER LOG</t>
        </is>
      </c>
      <c r="B44" s="3" t="n"/>
      <c r="C44" s="3" t="n"/>
    </row>
    <row r="45">
      <c r="A45" t="inlineStr">
        <is>
          <t>1. Basket / AOV analysis  -&gt;  upsell &amp; menu engineering (revenue drops to profit)</t>
        </is>
      </c>
    </row>
    <row r="46">
      <c r="A46" t="inlineStr">
        <is>
          <t>2. Demand by hour x day-of-week  -&gt;  staff &amp; rider scheduling (cut idle cost, hold SLA)</t>
        </is>
      </c>
    </row>
    <row r="47">
      <c r="A47" t="inlineStr">
        <is>
          <t>3. Item-level contribution-margin ranking  -&gt;  promote high-margin, retire low-margin</t>
        </is>
      </c>
    </row>
    <row r="48">
      <c r="A48" t="inlineStr">
        <is>
          <t>Bonus: discount-effectiveness (order-size distribution) + repeat-customer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2026-06-23T09:06:47Z</dcterms:created>
  <dcterms:modified xsi:type="dcterms:W3CDTF">2026-06-23T09:06:47Z</dcterms:modified>
</cp:coreProperties>
</file>